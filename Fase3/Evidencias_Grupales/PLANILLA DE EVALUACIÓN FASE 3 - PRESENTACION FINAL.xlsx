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1/Grupo 4/"/>
    </mc:Choice>
  </mc:AlternateContent>
  <xr:revisionPtr revIDLastSave="0" documentId="13_ncr:1_{FC6EE92B-4BB1-6B48-AC65-60AEC1DE46A2}" xr6:coauthVersionLast="47" xr6:coauthVersionMax="47" xr10:uidLastSave="{00000000-0000-0000-0000-000000000000}"/>
  <bookViews>
    <workbookView xWindow="0" yWindow="760" windowWidth="31900" windowHeight="181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K67" i="1"/>
  <c r="J67" i="1"/>
  <c r="H67" i="1"/>
  <c r="I67" i="1"/>
  <c r="F67" i="1"/>
  <c r="G67" i="1"/>
  <c r="D67" i="1"/>
  <c r="E67" i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/>
  <c r="H54" i="1"/>
  <c r="I54" i="1"/>
  <c r="G54" i="1"/>
  <c r="F54" i="1"/>
  <c r="E54" i="1"/>
  <c r="D54" i="1"/>
  <c r="J53" i="1"/>
  <c r="K53" i="1"/>
  <c r="H53" i="1"/>
  <c r="I53" i="1"/>
  <c r="F53" i="1"/>
  <c r="G53" i="1"/>
  <c r="D53" i="1"/>
  <c r="E53" i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 s="1"/>
  <c r="H41" i="1"/>
  <c r="I41" i="1"/>
  <c r="F41" i="1"/>
  <c r="G41" i="1" s="1"/>
  <c r="D41" i="1"/>
  <c r="E41" i="1" s="1"/>
  <c r="J40" i="1"/>
  <c r="K40" i="1" s="1"/>
  <c r="H40" i="1"/>
  <c r="I40" i="1" s="1"/>
  <c r="F40" i="1"/>
  <c r="G40" i="1"/>
  <c r="D40" i="1"/>
  <c r="E40" i="1"/>
  <c r="J39" i="1"/>
  <c r="K39" i="1"/>
  <c r="H39" i="1"/>
  <c r="I39" i="1" s="1"/>
  <c r="F39" i="1"/>
  <c r="G39" i="1" s="1"/>
  <c r="D39" i="1"/>
  <c r="E39" i="1" s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 s="1"/>
  <c r="H28" i="1"/>
  <c r="I28" i="1" s="1"/>
  <c r="F28" i="1"/>
  <c r="G28" i="1" s="1"/>
  <c r="D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K33" i="1" s="1"/>
  <c r="H26" i="1"/>
  <c r="I26" i="1"/>
  <c r="I33" i="1" s="1"/>
  <c r="F26" i="1"/>
  <c r="G26" i="1" s="1"/>
  <c r="D26" i="1"/>
  <c r="E26" i="1"/>
  <c r="E72" i="1"/>
  <c r="K85" i="1"/>
  <c r="E85" i="1"/>
  <c r="I85" i="1"/>
  <c r="G85" i="1"/>
  <c r="G72" i="1"/>
  <c r="I72" i="1"/>
  <c r="K72" i="1"/>
  <c r="E59" i="1"/>
  <c r="K59" i="1"/>
  <c r="G59" i="1"/>
  <c r="I59" i="1"/>
  <c r="C72" i="1"/>
  <c r="C73" i="1"/>
  <c r="C59" i="1"/>
  <c r="C60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D15" i="1"/>
  <c r="E15" i="1" s="1"/>
  <c r="D16" i="1"/>
  <c r="E16" i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K13" i="1"/>
  <c r="H13" i="1"/>
  <c r="I13" i="1"/>
  <c r="F13" i="1"/>
  <c r="G13" i="1"/>
  <c r="I46" i="1" l="1"/>
  <c r="K46" i="1"/>
  <c r="G46" i="1"/>
  <c r="E46" i="1"/>
  <c r="C46" i="1" s="1"/>
  <c r="C47" i="1" s="1"/>
  <c r="C6" i="1" s="1"/>
  <c r="E6" i="1" s="1"/>
  <c r="E33" i="1"/>
  <c r="G33" i="1"/>
  <c r="E20" i="1"/>
  <c r="I20" i="1"/>
  <c r="K20" i="1"/>
  <c r="G20" i="1"/>
  <c r="C20" i="1"/>
  <c r="C21" i="1" s="1"/>
  <c r="C4" i="1" s="1"/>
  <c r="E4" i="1" s="1"/>
  <c r="C33" i="1" l="1"/>
  <c r="C34" i="1" s="1"/>
  <c r="C5" i="1" s="1"/>
  <c r="E5" i="1" s="1"/>
</calcChain>
</file>

<file path=xl/sharedStrings.xml><?xml version="1.0" encoding="utf-8"?>
<sst xmlns="http://schemas.openxmlformats.org/spreadsheetml/2006/main" count="167" uniqueCount="69">
  <si>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</si>
  <si>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</si>
  <si>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</si>
  <si>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</si>
  <si>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</si>
  <si>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</si>
  <si>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</si>
  <si>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</si>
  <si>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</si>
  <si>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</si>
  <si>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</si>
  <si>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</si>
  <si>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</si>
  <si>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</si>
  <si>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</si>
  <si>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</si>
  <si>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</si>
  <si>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</si>
  <si>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</si>
  <si>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</si>
  <si>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</si>
  <si>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</si>
  <si>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</si>
  <si>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</si>
  <si>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</si>
  <si>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</si>
  <si>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</si>
  <si>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</si>
  <si>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</si>
  <si>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</si>
  <si>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</si>
  <si>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</si>
  <si>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</si>
  <si>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</si>
  <si>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</si>
  <si>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</si>
  <si>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</si>
  <si>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</si>
  <si>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</si>
  <si>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</si>
  <si>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</si>
  <si>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</si>
  <si>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</si>
  <si>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</si>
  <si>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</si>
  <si>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</si>
  <si>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</si>
  <si>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</si>
  <si>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</si>
  <si>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</si>
  <si>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</si>
  <si>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</si>
  <si>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</si>
  <si>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</si>
  <si>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</si>
  <si>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</si>
  <si>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</si>
  <si>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</si>
  <si>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</si>
  <si>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</si>
  <si>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</si>
  <si>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</si>
  <si>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</si>
  <si>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Sebastián Medina</t>
  </si>
  <si>
    <t>Matías Machuca</t>
  </si>
  <si>
    <t>Francisco Egenau</t>
  </si>
  <si>
    <t>Arquitectura no indica donde vive</t>
  </si>
  <si>
    <t>Modelo de Datos</t>
  </si>
  <si>
    <t>Bien las señas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</si>
</sst>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7" fillId="0" borderId="24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B1" zoomScale="120" zoomScaleNormal="120" workbookViewId="0">
      <selection activeCell="B93" sqref="B93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7" x14ac:dyDescent="0.2">
      <c r="A4" s="3">
        <v>1</v>
      </c>
      <c r="B4" s="38" t="s">
        <v>63</v>
      </c>
      <c r="C4" s="30">
        <f>C21</f>
        <v>5.7</v>
      </c>
      <c r="D4" s="36">
        <f>C60</f>
        <v>7</v>
      </c>
      <c r="E4" s="35">
        <f>C4*C$2+D4*D$2</f>
        <v>6.09</v>
      </c>
    </row>
    <row r="5" spans="1:11" ht="17" x14ac:dyDescent="0.2">
      <c r="A5" s="3">
        <v>2</v>
      </c>
      <c r="B5" s="38" t="s">
        <v>64</v>
      </c>
      <c r="C5" s="30">
        <f>C34</f>
        <v>5.7</v>
      </c>
      <c r="D5" s="36">
        <f>C73</f>
        <v>7</v>
      </c>
      <c r="E5" s="35">
        <f t="shared" ref="E5:E6" si="0">C5*C$2+D5*D$2</f>
        <v>6.09</v>
      </c>
    </row>
    <row r="6" spans="1:11" ht="17" x14ac:dyDescent="0.2">
      <c r="A6" s="3">
        <v>3</v>
      </c>
      <c r="B6" s="38" t="s">
        <v>65</v>
      </c>
      <c r="C6" s="30">
        <f>C47</f>
        <v>5.7</v>
      </c>
      <c r="D6" s="36">
        <f>C86</f>
        <v>7</v>
      </c>
      <c r="E6" s="35">
        <f t="shared" si="0"/>
        <v>6.09</v>
      </c>
    </row>
    <row r="11" spans="1:11" ht="19" outlineLevel="1" x14ac:dyDescent="0.2">
      <c r="A11" s="39" t="s">
        <v>4</v>
      </c>
      <c r="B11" s="11" t="str">
        <f>B4</f>
        <v>Sebastián Medina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9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82</v>
      </c>
      <c r="D20" s="13"/>
      <c r="E20" s="13">
        <f>SUM(E13:E19)</f>
        <v>55</v>
      </c>
      <c r="F20" s="13"/>
      <c r="G20" s="13">
        <f>SUM(G13:G19)</f>
        <v>27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5.7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39" t="s">
        <v>4</v>
      </c>
      <c r="B24" s="11" t="str">
        <f>B5</f>
        <v>Matías Machuca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58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58" t="s">
        <v>9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82</v>
      </c>
      <c r="D33" s="13"/>
      <c r="E33" s="13">
        <f>SUM(E26:E32)</f>
        <v>55</v>
      </c>
      <c r="F33" s="13"/>
      <c r="G33" s="13">
        <f>SUM(G26:G32)</f>
        <v>27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5.7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39" t="s">
        <v>4</v>
      </c>
      <c r="B37" s="11" t="str">
        <f>B6</f>
        <v>Francisco Egenau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58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58" t="s">
        <v>9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82</v>
      </c>
      <c r="D46" s="13"/>
      <c r="E46" s="13">
        <f>SUM(E39:E45)</f>
        <v>55</v>
      </c>
      <c r="F46" s="13"/>
      <c r="G46" s="13">
        <f>SUM(G39:G45)</f>
        <v>27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5.7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8" t="s">
        <v>14</v>
      </c>
      <c r="B50" s="11" t="str">
        <f>B4</f>
        <v>Sebastián Medina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8" t="s">
        <v>15</v>
      </c>
      <c r="B63" s="11" t="str">
        <f>B5</f>
        <v>Matías Machuca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8" t="s">
        <v>16</v>
      </c>
      <c r="B76" s="11" t="str">
        <f>B6</f>
        <v>Francisco Egenau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66</v>
      </c>
    </row>
    <row r="90" spans="1:11" ht="15.75" customHeight="1" x14ac:dyDescent="0.2">
      <c r="B90" t="s">
        <v>67</v>
      </c>
    </row>
    <row r="91" spans="1:11" ht="15.75" customHeight="1" x14ac:dyDescent="0.2">
      <c r="B91" t="s">
        <v>68</v>
      </c>
    </row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C78:C84 C29:C32 C52:C58 C65:C71 C42:C45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0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2025-12-10T01:14:16Z</dcterms:modified>
  <cp:category/>
  <cp:contentStatus/>
</cp:coreProperties>
</file>